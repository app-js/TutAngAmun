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filterPrivacy="1" showInkAnnotation="0" codeName="DieseArbeitsmappe" autoCompressPictures="0"/>
  <xr:revisionPtr revIDLastSave="0" documentId="13_ncr:1_{C658F6D9-F288-46FA-AAF7-A8C376B90C4E}" xr6:coauthVersionLast="47" xr6:coauthVersionMax="47" xr10:uidLastSave="{00000000-0000-0000-0000-000000000000}"/>
  <bookViews>
    <workbookView xWindow="3315" yWindow="2520" windowWidth="21600" windowHeight="11295" tabRatio="500" xr2:uid="{00000000-000D-0000-FFFF-FFFF00000000}"/>
  </bookViews>
  <sheets>
    <sheet name="Tagesgeld" sheetId="4" r:id="rId1"/>
    <sheet name="Blatt1" sheetId="1" r:id="rId2"/>
    <sheet name="Blatt2" sheetId="3" r:id="rId3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3" i="4" l="1"/>
  <c r="E22" i="4"/>
  <c r="E26" i="4"/>
  <c r="E27" i="4"/>
  <c r="M23" i="3"/>
  <c r="E10" i="4"/>
  <c r="E15" i="4"/>
  <c r="F19" i="4"/>
  <c r="E19" i="4"/>
  <c r="I11" i="3"/>
  <c r="M26" i="3"/>
  <c r="M24" i="3"/>
  <c r="M11" i="3"/>
  <c r="M4" i="3"/>
  <c r="M12" i="3"/>
  <c r="L12" i="3"/>
  <c r="K12" i="3"/>
  <c r="J12" i="3"/>
  <c r="I12" i="3"/>
  <c r="H12" i="3"/>
  <c r="G12" i="3"/>
  <c r="F12" i="3"/>
  <c r="E12" i="3"/>
  <c r="M18" i="3"/>
  <c r="M19" i="3"/>
  <c r="M20" i="3"/>
  <c r="L11" i="3"/>
  <c r="L18" i="3"/>
  <c r="L19" i="3"/>
  <c r="L20" i="3"/>
  <c r="K11" i="3"/>
  <c r="K18" i="3"/>
  <c r="K19" i="3"/>
  <c r="K20" i="3"/>
  <c r="J11" i="3"/>
  <c r="J18" i="3"/>
  <c r="J19" i="3"/>
  <c r="J20" i="3"/>
  <c r="I18" i="3"/>
  <c r="I19" i="3"/>
  <c r="I20" i="3"/>
  <c r="H11" i="3"/>
  <c r="H18" i="3"/>
  <c r="H19" i="3"/>
  <c r="H20" i="3"/>
  <c r="G11" i="3"/>
  <c r="G18" i="3"/>
  <c r="G19" i="3"/>
  <c r="G20" i="3"/>
  <c r="F18" i="3"/>
  <c r="F19" i="3"/>
  <c r="F20" i="3"/>
  <c r="E18" i="3"/>
  <c r="E19" i="3"/>
  <c r="E20" i="3"/>
  <c r="M8" i="3"/>
  <c r="M13" i="3"/>
  <c r="M15" i="3"/>
  <c r="M16" i="3"/>
  <c r="L8" i="3"/>
  <c r="L13" i="3"/>
  <c r="L15" i="3"/>
  <c r="L16" i="3"/>
  <c r="K8" i="3"/>
  <c r="K13" i="3"/>
  <c r="K15" i="3"/>
  <c r="K16" i="3"/>
  <c r="J8" i="3"/>
  <c r="J13" i="3"/>
  <c r="J15" i="3"/>
  <c r="J16" i="3"/>
  <c r="I8" i="3"/>
  <c r="I13" i="3"/>
  <c r="I15" i="3"/>
  <c r="I16" i="3"/>
  <c r="H8" i="3"/>
  <c r="H13" i="3"/>
  <c r="H15" i="3"/>
  <c r="H16" i="3"/>
  <c r="G8" i="3"/>
  <c r="G13" i="3"/>
  <c r="G15" i="3"/>
  <c r="G16" i="3"/>
  <c r="F8" i="3"/>
  <c r="F13" i="3"/>
  <c r="F15" i="3"/>
  <c r="F16" i="3"/>
  <c r="E8" i="3"/>
  <c r="E13" i="3"/>
  <c r="E15" i="3"/>
  <c r="E16" i="3"/>
  <c r="G32" i="1"/>
  <c r="D31" i="1"/>
  <c r="E31" i="1"/>
  <c r="F32" i="1"/>
  <c r="F31" i="1"/>
  <c r="C31" i="1"/>
  <c r="F27" i="1"/>
  <c r="D28" i="1"/>
  <c r="E28" i="1"/>
  <c r="F28" i="1"/>
  <c r="G28" i="1"/>
  <c r="H28" i="1"/>
  <c r="E24" i="1"/>
  <c r="M10" i="1"/>
  <c r="M14" i="1"/>
  <c r="M11" i="1"/>
  <c r="M16" i="1"/>
  <c r="G20" i="1"/>
  <c r="G18" i="1"/>
  <c r="G19" i="1"/>
  <c r="G21" i="1"/>
  <c r="G22" i="1"/>
  <c r="L14" i="1"/>
  <c r="G14" i="1"/>
  <c r="L11" i="1"/>
  <c r="L16" i="1"/>
  <c r="K14" i="1"/>
  <c r="K11" i="1"/>
  <c r="K16" i="1"/>
  <c r="J14" i="1"/>
  <c r="J11" i="1"/>
  <c r="J16" i="1"/>
  <c r="I14" i="1"/>
  <c r="I11" i="1"/>
  <c r="I16" i="1"/>
  <c r="H14" i="1"/>
  <c r="H11" i="1"/>
  <c r="H16" i="1"/>
  <c r="G11" i="1"/>
  <c r="G16" i="1"/>
  <c r="F11" i="1"/>
  <c r="F16" i="1"/>
  <c r="E11" i="1"/>
  <c r="E16" i="1"/>
  <c r="D6" i="1"/>
  <c r="B6" i="1"/>
  <c r="H32" i="1"/>
</calcChain>
</file>

<file path=xl/sharedStrings.xml><?xml version="1.0" encoding="utf-8"?>
<sst xmlns="http://schemas.openxmlformats.org/spreadsheetml/2006/main" count="126" uniqueCount="98">
  <si>
    <t>Taggenaue Zinsen</t>
  </si>
  <si>
    <t>Kapital:</t>
  </si>
  <si>
    <t>Anfangsdatum:</t>
  </si>
  <si>
    <t>Zinssatz:</t>
  </si>
  <si>
    <t>Enddatum:</t>
  </si>
  <si>
    <t>Zinstage:</t>
  </si>
  <si>
    <t>Zinsen:</t>
  </si>
  <si>
    <t>Ergebnis</t>
  </si>
  <si>
    <t>Kn   : Endkapital inkl. Zinsen nach n Jahren</t>
  </si>
  <si>
    <t>K0   : angelegtes Anfangskapital</t>
  </si>
  <si>
    <t>p    : Zinssatz in Prozent</t>
  </si>
  <si>
    <t>n    : Anzahl der Jahre</t>
  </si>
  <si>
    <t>m    : Anzahl der Zinsperioden pro Jahr</t>
  </si>
  <si>
    <t>Kn = K0 * ((p/m / 100) + 1)^n*m</t>
  </si>
  <si>
    <t>4 Jahre</t>
  </si>
  <si>
    <t>1 Jahr</t>
  </si>
  <si>
    <t>1 Monat</t>
  </si>
  <si>
    <t>2 Monate</t>
  </si>
  <si>
    <t>11 Monate</t>
  </si>
  <si>
    <t>12 Monate</t>
  </si>
  <si>
    <t>48 Monate</t>
  </si>
  <si>
    <t>Ertrag</t>
  </si>
  <si>
    <t>Zinseszinsformel für unterjährige Verzinsung 30/360 Deutsche Zinsrechnung</t>
  </si>
  <si>
    <t>1 Tag</t>
  </si>
  <si>
    <t>B2*D2/360*TAGE360(B3;D3;WAHR)</t>
  </si>
  <si>
    <t>first</t>
  </si>
  <si>
    <t>first2</t>
  </si>
  <si>
    <t>second</t>
  </si>
  <si>
    <t>third</t>
  </si>
  <si>
    <t>fourth</t>
  </si>
  <si>
    <t>7/12/100</t>
  </si>
  <si>
    <t>p/m/100</t>
  </si>
  <si>
    <t>first + 1</t>
  </si>
  <si>
    <t>1/12 * 12</t>
  </si>
  <si>
    <t>1/12 * m</t>
  </si>
  <si>
    <t>first2 ^ second</t>
  </si>
  <si>
    <t>5000 * third</t>
  </si>
  <si>
    <t>K0 * third</t>
  </si>
  <si>
    <t>Tägliche Verzinsung</t>
  </si>
  <si>
    <t>/ 360)</t>
  </si>
  <si>
    <t>Monatliche Verzinsung</t>
  </si>
  <si>
    <t>*K0</t>
  </si>
  <si>
    <t>^n*m)</t>
  </si>
  <si>
    <t>(((p/100</t>
  </si>
  <si>
    <t>Soll</t>
  </si>
  <si>
    <t>Ist</t>
  </si>
  <si>
    <t>Zinstage</t>
  </si>
  <si>
    <t>60 Tage</t>
  </si>
  <si>
    <t>15 Tage</t>
  </si>
  <si>
    <t>1/12</t>
  </si>
  <si>
    <t>2/12</t>
  </si>
  <si>
    <t>11/12</t>
  </si>
  <si>
    <t>12/12</t>
  </si>
  <si>
    <t>48/12</t>
  </si>
  <si>
    <t>1/12/30</t>
  </si>
  <si>
    <t>n*m</t>
  </si>
  <si>
    <t>((p/m / 100) + 1)</t>
  </si>
  <si>
    <t xml:space="preserve"> ((p/m / 100) + 1)^n*m</t>
  </si>
  <si>
    <t>m=</t>
  </si>
  <si>
    <t>Tage=</t>
  </si>
  <si>
    <t>Tage/360</t>
  </si>
  <si>
    <t>Z=K * p/100 * t/Tjahr</t>
  </si>
  <si>
    <t>Kn = K0 * ((p / 100) + 1) hoch n</t>
  </si>
  <si>
    <t>*((</t>
  </si>
  <si>
    <t>/</t>
  </si>
  <si>
    <t>)+</t>
  </si>
  <si>
    <t>)^</t>
  </si>
  <si>
    <t>Anfangskapital</t>
  </si>
  <si>
    <t>Zinssatz</t>
  </si>
  <si>
    <t>Jahrestage</t>
  </si>
  <si>
    <t>Zinsertrag</t>
  </si>
  <si>
    <t>Z</t>
  </si>
  <si>
    <t>p</t>
  </si>
  <si>
    <t>t</t>
  </si>
  <si>
    <t>Tjahr</t>
  </si>
  <si>
    <t>K0</t>
  </si>
  <si>
    <t>Z=K0 * p/100 * t/Tjahr</t>
  </si>
  <si>
    <t>Anzahl der Jahre</t>
  </si>
  <si>
    <t>n</t>
  </si>
  <si>
    <t>m</t>
  </si>
  <si>
    <t>Anzahl der Zinsperioden pro Jahr</t>
  </si>
  <si>
    <t>Endkapital inkl. Zinsen nach n Jahren</t>
  </si>
  <si>
    <t>Kn</t>
  </si>
  <si>
    <t>n Anzahl der Jahre</t>
  </si>
  <si>
    <t>Tagesgeld</t>
  </si>
  <si>
    <t>30E/360 Deutsche Zinsrechnung</t>
  </si>
  <si>
    <t>Steuersatz</t>
  </si>
  <si>
    <t>Freibetrag</t>
  </si>
  <si>
    <t>Steuern</t>
  </si>
  <si>
    <t>Vor Steuern</t>
  </si>
  <si>
    <t>Perioden</t>
  </si>
  <si>
    <t>Resttage</t>
  </si>
  <si>
    <t>Periode</t>
  </si>
  <si>
    <t>Anlagekapital</t>
  </si>
  <si>
    <t>Steuer</t>
  </si>
  <si>
    <t>Steuerverlust</t>
  </si>
  <si>
    <t>Freibetrag Rest</t>
  </si>
  <si>
    <t>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</si>
</sst>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[$€-1]_-;\-* #,##0.00\ [$€-1]_-;_-* &quot;-&quot;??\ [$€-1]_-"/>
    <numFmt numFmtId="165" formatCode="#,##0.00\ &quot;DM&quot;;[Red]\-#,##0.00\ &quot;DM&quot;"/>
    <numFmt numFmtId="166" formatCode="0.00000000000"/>
  </numFmts>
  <fonts count="16" x14ac:knownFonts="1">
    <font>
      <sz val="12"/>
      <color theme="1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8"/>
      <name val="Calibri"/>
      <family val="2"/>
      <scheme val="minor"/>
    </font>
    <font>
      <sz val="22"/>
      <color theme="0" tint="-4.9989318521683403E-2"/>
      <name val="Cambria"/>
      <scheme val="major"/>
    </font>
    <font>
      <sz val="12"/>
      <name val="Cambria"/>
      <scheme val="major"/>
    </font>
    <font>
      <sz val="12"/>
      <name val="Calibri"/>
      <scheme val="minor"/>
    </font>
    <font>
      <sz val="18"/>
      <color theme="0"/>
      <name val="Cambria"/>
      <scheme val="major"/>
    </font>
    <font>
      <b/>
      <sz val="15"/>
      <color rgb="FF6A9955"/>
      <name val="Consolas"/>
      <family val="3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2"/>
      <color rgb="FF2B2B2B"/>
      <name val="Lato"/>
      <family val="2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theme="9" tint="0.7999816888943144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5" fontId="2" fillId="0" borderId="0" xfId="0" applyNumberFormat="1" applyFont="1" applyAlignment="1">
      <alignment horizontal="left"/>
    </xf>
    <xf numFmtId="0" fontId="3" fillId="0" borderId="0" xfId="0" applyFont="1"/>
    <xf numFmtId="0" fontId="6" fillId="3" borderId="0" xfId="0" applyFont="1" applyFill="1" applyAlignment="1">
      <alignment horizontal="right" vertical="center"/>
    </xf>
    <xf numFmtId="164" fontId="6" fillId="3" borderId="0" xfId="0" applyNumberFormat="1" applyFont="1" applyFill="1" applyAlignment="1">
      <alignment vertical="center"/>
    </xf>
    <xf numFmtId="10" fontId="6" fillId="3" borderId="0" xfId="0" applyNumberFormat="1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14" fontId="6" fillId="3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/>
    </xf>
    <xf numFmtId="0" fontId="7" fillId="3" borderId="0" xfId="0" applyFont="1" applyFill="1" applyBorder="1" applyAlignment="1">
      <alignment horizontal="right" vertical="center"/>
    </xf>
    <xf numFmtId="0" fontId="7" fillId="3" borderId="0" xfId="0" applyFont="1" applyFill="1" applyBorder="1" applyAlignment="1">
      <alignment horizontal="center" vertical="center"/>
    </xf>
    <xf numFmtId="164" fontId="7" fillId="3" borderId="0" xfId="0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/>
    <xf numFmtId="0" fontId="11" fillId="0" borderId="0" xfId="0" applyFont="1"/>
    <xf numFmtId="16" fontId="0" fillId="0" borderId="0" xfId="0" applyNumberFormat="1"/>
    <xf numFmtId="2" fontId="0" fillId="0" borderId="0" xfId="0" applyNumberFormat="1"/>
    <xf numFmtId="49" fontId="0" fillId="0" borderId="0" xfId="0" applyNumberFormat="1"/>
    <xf numFmtId="2" fontId="11" fillId="0" borderId="0" xfId="0" applyNumberFormat="1" applyFont="1"/>
    <xf numFmtId="0" fontId="0" fillId="4" borderId="0" xfId="0" applyFill="1"/>
    <xf numFmtId="0" fontId="12" fillId="0" borderId="0" xfId="0" applyFont="1"/>
    <xf numFmtId="0" fontId="0" fillId="0" borderId="0" xfId="0" applyAlignment="1">
      <alignment horizont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166" fontId="0" fillId="7" borderId="0" xfId="0" applyNumberFormat="1" applyFill="1"/>
    <xf numFmtId="166" fontId="0" fillId="7" borderId="0" xfId="0" applyNumberFormat="1" applyFill="1" applyProtection="1"/>
    <xf numFmtId="2" fontId="11" fillId="7" borderId="0" xfId="0" applyNumberFormat="1" applyFont="1" applyFill="1"/>
    <xf numFmtId="166" fontId="0" fillId="4" borderId="0" xfId="0" applyNumberFormat="1" applyFill="1"/>
    <xf numFmtId="0" fontId="0" fillId="0" borderId="0" xfId="0" applyBorder="1"/>
    <xf numFmtId="0" fontId="0" fillId="6" borderId="1" xfId="0" applyFill="1" applyBorder="1"/>
    <xf numFmtId="0" fontId="0" fillId="0" borderId="1" xfId="0" applyBorder="1"/>
    <xf numFmtId="2" fontId="11" fillId="5" borderId="0" xfId="0" applyNumberFormat="1" applyFont="1" applyFill="1"/>
    <xf numFmtId="2" fontId="11" fillId="4" borderId="0" xfId="0" applyNumberFormat="1" applyFont="1" applyFill="1"/>
    <xf numFmtId="0" fontId="0" fillId="8" borderId="0" xfId="0" applyFill="1"/>
    <xf numFmtId="0" fontId="11" fillId="8" borderId="0" xfId="0" applyFont="1" applyFill="1"/>
    <xf numFmtId="0" fontId="0" fillId="0" borderId="0" xfId="0" applyFill="1"/>
    <xf numFmtId="166" fontId="0" fillId="0" borderId="0" xfId="0" applyNumberFormat="1" applyFill="1" applyProtection="1"/>
    <xf numFmtId="2" fontId="11" fillId="0" borderId="0" xfId="0" applyNumberFormat="1" applyFont="1" applyFill="1"/>
    <xf numFmtId="2" fontId="11" fillId="8" borderId="0" xfId="0" applyNumberFormat="1" applyFont="1" applyFill="1"/>
    <xf numFmtId="0" fontId="15" fillId="8" borderId="0" xfId="0" applyFont="1" applyFill="1"/>
    <xf numFmtId="0" fontId="5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D3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</xdr:row>
          <xdr:rowOff>38100</xdr:rowOff>
        </xdr:from>
        <xdr:to>
          <xdr:col>4</xdr:col>
          <xdr:colOff>1219200</xdr:colOff>
          <xdr:row>3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</xdr:row>
          <xdr:rowOff>38100</xdr:rowOff>
        </xdr:from>
        <xdr:to>
          <xdr:col>5</xdr:col>
          <xdr:colOff>1143000</xdr:colOff>
          <xdr:row>13</xdr:row>
          <xdr:rowOff>85725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25</xdr:row>
          <xdr:rowOff>133350</xdr:rowOff>
        </xdr:from>
        <xdr:to>
          <xdr:col>1</xdr:col>
          <xdr:colOff>142875</xdr:colOff>
          <xdr:row>26</xdr:row>
          <xdr:rowOff>171450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33</xdr:row>
          <xdr:rowOff>123825</xdr:rowOff>
        </xdr:from>
        <xdr:to>
          <xdr:col>1</xdr:col>
          <xdr:colOff>133350</xdr:colOff>
          <xdr:row>34</xdr:row>
          <xdr:rowOff>171450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190500</xdr:rowOff>
        </xdr:from>
        <xdr:to>
          <xdr:col>3</xdr:col>
          <xdr:colOff>1038225</xdr:colOff>
          <xdr:row>30</xdr:row>
          <xdr:rowOff>9525</xdr:rowOff>
        </xdr:to>
        <xdr:sp macro="" textlink="">
          <xdr:nvSpPr>
            <xdr:cNvPr id="6151" name="Check Box 7" descr="aktiv&#10;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aktiv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8A305-29C1-4899-84C5-ED731E1FDAA9}">
  <sheetPr codeName="Tabelle2"/>
  <dimension ref="A3:BO47"/>
  <sheetViews>
    <sheetView tabSelected="1" topLeftCell="A34" workbookViewId="0">
      <selection activeCell="D49" sqref="D49"/>
    </sheetView>
  </sheetViews>
  <sheetFormatPr baseColWidth="10" defaultRowHeight="15.75" x14ac:dyDescent="0.25"/>
  <cols>
    <col min="2" max="2" width="15.25" customWidth="1"/>
    <col min="4" max="4" width="17.875" customWidth="1"/>
    <col min="5" max="5" width="20.25" customWidth="1"/>
    <col min="6" max="6" width="15.375" bestFit="1" customWidth="1"/>
    <col min="7" max="7" width="17.25" customWidth="1"/>
    <col min="8" max="8" width="18.5" customWidth="1"/>
  </cols>
  <sheetData>
    <row r="3" spans="1:11" x14ac:dyDescent="0.25">
      <c r="A3" s="22"/>
      <c r="B3" s="22" t="s">
        <v>76</v>
      </c>
      <c r="C3" s="22"/>
      <c r="D3" s="22"/>
      <c r="E3" s="22"/>
    </row>
    <row r="4" spans="1:11" x14ac:dyDescent="0.25">
      <c r="A4" s="22"/>
      <c r="B4" s="22"/>
      <c r="C4" s="22"/>
      <c r="D4" s="22"/>
      <c r="E4" s="22"/>
    </row>
    <row r="5" spans="1:11" x14ac:dyDescent="0.25">
      <c r="A5" s="22" t="s">
        <v>75</v>
      </c>
      <c r="B5" s="22" t="s">
        <v>67</v>
      </c>
      <c r="C5" s="22"/>
      <c r="D5" s="22">
        <v>5000</v>
      </c>
      <c r="E5" s="22"/>
    </row>
    <row r="6" spans="1:11" x14ac:dyDescent="0.25">
      <c r="A6" s="22" t="s">
        <v>72</v>
      </c>
      <c r="B6" s="22" t="s">
        <v>68</v>
      </c>
      <c r="C6" s="22"/>
      <c r="D6" s="22">
        <v>1.75</v>
      </c>
      <c r="E6" s="22"/>
    </row>
    <row r="7" spans="1:11" x14ac:dyDescent="0.25">
      <c r="A7" s="22" t="s">
        <v>73</v>
      </c>
      <c r="B7" s="22" t="s">
        <v>46</v>
      </c>
      <c r="C7" s="22"/>
      <c r="D7" s="22">
        <v>213</v>
      </c>
      <c r="E7" s="22"/>
    </row>
    <row r="8" spans="1:11" x14ac:dyDescent="0.25">
      <c r="A8" s="22" t="s">
        <v>74</v>
      </c>
      <c r="B8" s="22" t="s">
        <v>69</v>
      </c>
      <c r="C8" s="22"/>
      <c r="D8" s="22">
        <v>360</v>
      </c>
      <c r="E8" s="22"/>
    </row>
    <row r="9" spans="1:11" x14ac:dyDescent="0.25">
      <c r="A9" s="22"/>
      <c r="B9" s="22"/>
      <c r="C9" s="22"/>
      <c r="D9" s="22"/>
      <c r="E9" s="22"/>
      <c r="H9" s="32"/>
      <c r="I9" s="32"/>
      <c r="J9" s="32"/>
      <c r="K9" s="32"/>
    </row>
    <row r="10" spans="1:11" x14ac:dyDescent="0.25">
      <c r="A10" s="22" t="s">
        <v>71</v>
      </c>
      <c r="B10" s="22" t="s">
        <v>70</v>
      </c>
      <c r="C10" s="22"/>
      <c r="D10" s="31">
        <v>51.770833333333336</v>
      </c>
      <c r="E10" s="36">
        <f>ROUND(D10,2)</f>
        <v>51.77</v>
      </c>
      <c r="H10" s="32"/>
      <c r="I10" s="32"/>
      <c r="J10" s="32"/>
      <c r="K10" s="32"/>
    </row>
    <row r="13" spans="1:11" x14ac:dyDescent="0.25">
      <c r="A13" s="27"/>
      <c r="B13" s="27" t="s">
        <v>13</v>
      </c>
      <c r="C13" s="27"/>
      <c r="D13" s="27"/>
      <c r="E13" s="27"/>
      <c r="F13" s="27"/>
    </row>
    <row r="14" spans="1:11" x14ac:dyDescent="0.25">
      <c r="A14" s="27"/>
      <c r="B14" s="27"/>
      <c r="C14" s="27"/>
      <c r="D14" s="27"/>
      <c r="E14" s="27"/>
      <c r="F14" s="27"/>
    </row>
    <row r="15" spans="1:11" x14ac:dyDescent="0.25">
      <c r="A15" s="27" t="s">
        <v>78</v>
      </c>
      <c r="B15" s="27" t="s">
        <v>77</v>
      </c>
      <c r="C15" s="27"/>
      <c r="D15" s="27"/>
      <c r="E15" s="27">
        <f>D7/360</f>
        <v>0.59166666666666667</v>
      </c>
      <c r="F15" s="27"/>
    </row>
    <row r="16" spans="1:11" x14ac:dyDescent="0.25">
      <c r="A16" s="27" t="s">
        <v>79</v>
      </c>
      <c r="B16" s="27" t="s">
        <v>80</v>
      </c>
      <c r="C16" s="27"/>
      <c r="D16" s="27"/>
      <c r="E16" s="27">
        <v>12</v>
      </c>
      <c r="F16" s="27"/>
    </row>
    <row r="17" spans="1:67" x14ac:dyDescent="0.25">
      <c r="A17" s="27"/>
      <c r="B17" s="27"/>
      <c r="C17" s="27"/>
      <c r="D17" s="27"/>
      <c r="E17" s="27"/>
      <c r="F17" s="27"/>
    </row>
    <row r="18" spans="1:67" x14ac:dyDescent="0.25">
      <c r="A18" s="27" t="s">
        <v>82</v>
      </c>
      <c r="B18" s="27" t="s">
        <v>81</v>
      </c>
      <c r="C18" s="27"/>
      <c r="D18" s="27"/>
      <c r="E18" s="28">
        <v>5052.0016774234291</v>
      </c>
      <c r="F18" s="27"/>
    </row>
    <row r="19" spans="1:67" x14ac:dyDescent="0.25">
      <c r="A19" s="27"/>
      <c r="B19" s="27" t="s">
        <v>21</v>
      </c>
      <c r="C19" s="27"/>
      <c r="D19" s="27"/>
      <c r="E19" s="29">
        <f>E18-D5</f>
        <v>52.001677423429101</v>
      </c>
      <c r="F19" s="30">
        <f>ROUND(E18,2)-D5</f>
        <v>52</v>
      </c>
    </row>
    <row r="20" spans="1:67" x14ac:dyDescent="0.25">
      <c r="A20" s="39"/>
      <c r="B20" s="39"/>
      <c r="C20" s="39"/>
      <c r="D20" s="39"/>
      <c r="E20" s="40"/>
      <c r="F20" s="41"/>
    </row>
    <row r="21" spans="1:67" x14ac:dyDescent="0.25">
      <c r="A21" s="39"/>
      <c r="B21" s="39"/>
      <c r="C21" s="39"/>
      <c r="D21" s="39"/>
      <c r="E21" s="40"/>
      <c r="F21" s="41"/>
    </row>
    <row r="22" spans="1:67" s="26" customFormat="1" x14ac:dyDescent="0.25">
      <c r="A22" s="25" t="s">
        <v>84</v>
      </c>
      <c r="B22" s="25"/>
      <c r="C22" s="25"/>
      <c r="D22" s="25" t="s">
        <v>75</v>
      </c>
      <c r="E22" s="25">
        <f>D5</f>
        <v>5000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</row>
    <row r="23" spans="1:67" x14ac:dyDescent="0.25">
      <c r="A23" s="25" t="s">
        <v>85</v>
      </c>
      <c r="B23" s="25"/>
      <c r="C23" s="25"/>
      <c r="D23" s="25"/>
      <c r="E23" s="25">
        <v>5051.2655175113305</v>
      </c>
      <c r="F23" s="34"/>
      <c r="G23" s="34" t="s">
        <v>83</v>
      </c>
      <c r="H23" s="34">
        <v>0.58333333333333337</v>
      </c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</row>
    <row r="24" spans="1:67" x14ac:dyDescent="0.25">
      <c r="A24" s="25"/>
      <c r="B24" s="25"/>
      <c r="C24" s="25"/>
      <c r="D24" s="25"/>
      <c r="E24" s="25">
        <v>0.73664288797040234</v>
      </c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</row>
    <row r="25" spans="1:67" x14ac:dyDescent="0.25">
      <c r="A25" s="25"/>
      <c r="B25" s="25"/>
      <c r="C25" s="25"/>
      <c r="D25" s="25" t="s">
        <v>82</v>
      </c>
      <c r="E25" s="25">
        <v>5052.0021603993009</v>
      </c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</row>
    <row r="26" spans="1:67" x14ac:dyDescent="0.25">
      <c r="A26" s="25"/>
      <c r="B26" s="25"/>
      <c r="C26" s="25"/>
      <c r="D26" s="25"/>
      <c r="E26" s="25">
        <f>E25-D5</f>
        <v>52.002160399300919</v>
      </c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</row>
    <row r="27" spans="1:67" x14ac:dyDescent="0.25">
      <c r="A27" s="25"/>
      <c r="B27" s="25"/>
      <c r="C27" s="25"/>
      <c r="D27" s="25" t="s">
        <v>21</v>
      </c>
      <c r="E27" s="35">
        <f>ROUND(E26,2)</f>
        <v>52</v>
      </c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</row>
    <row r="30" spans="1:67" x14ac:dyDescent="0.25">
      <c r="A30" s="37" t="s">
        <v>84</v>
      </c>
      <c r="B30" s="37"/>
      <c r="C30" s="37"/>
      <c r="D30" s="43" t="b">
        <v>1</v>
      </c>
      <c r="E30" s="37"/>
      <c r="F30" s="37"/>
      <c r="G30" s="37"/>
      <c r="H30" s="37"/>
    </row>
    <row r="31" spans="1:67" x14ac:dyDescent="0.25">
      <c r="A31" s="37" t="s">
        <v>85</v>
      </c>
      <c r="B31" s="37"/>
      <c r="C31" s="37"/>
      <c r="D31" s="37" t="s">
        <v>86</v>
      </c>
      <c r="E31" s="37">
        <v>26.375</v>
      </c>
      <c r="F31" s="37"/>
      <c r="G31" s="37"/>
      <c r="H31" s="38"/>
    </row>
    <row r="32" spans="1:67" x14ac:dyDescent="0.25">
      <c r="A32" s="37"/>
      <c r="B32" s="37"/>
      <c r="C32" s="37"/>
      <c r="D32" s="37" t="s">
        <v>87</v>
      </c>
      <c r="E32" s="37">
        <v>10</v>
      </c>
      <c r="F32" s="37"/>
      <c r="G32" s="37"/>
      <c r="H32" s="37"/>
    </row>
    <row r="33" spans="1:8" x14ac:dyDescent="0.25">
      <c r="A33" s="37"/>
      <c r="B33" s="37"/>
      <c r="C33" s="37"/>
      <c r="D33" s="37"/>
      <c r="E33" s="37"/>
      <c r="F33" s="37"/>
      <c r="G33" s="37" t="s">
        <v>89</v>
      </c>
      <c r="H33" s="37">
        <f>H35+H34</f>
        <v>51.980000000000437</v>
      </c>
    </row>
    <row r="34" spans="1:8" x14ac:dyDescent="0.25">
      <c r="A34" s="37"/>
      <c r="B34" s="37"/>
      <c r="C34" s="37"/>
      <c r="D34" s="37" t="s">
        <v>90</v>
      </c>
      <c r="E34" s="37">
        <v>5047.7300000000005</v>
      </c>
      <c r="F34" s="37"/>
      <c r="G34" s="37" t="s">
        <v>88</v>
      </c>
      <c r="H34" s="37">
        <v>3.71</v>
      </c>
    </row>
    <row r="35" spans="1:8" x14ac:dyDescent="0.25">
      <c r="A35" s="37"/>
      <c r="B35" s="37"/>
      <c r="C35" s="37"/>
      <c r="D35" s="37" t="s">
        <v>91</v>
      </c>
      <c r="E35" s="37">
        <v>0.54</v>
      </c>
      <c r="F35" s="37"/>
      <c r="G35" s="37" t="s">
        <v>21</v>
      </c>
      <c r="H35" s="42">
        <v>48.270000000000437</v>
      </c>
    </row>
    <row r="38" spans="1:8" x14ac:dyDescent="0.25">
      <c r="A38" t="s">
        <v>92</v>
      </c>
      <c r="B38" t="s">
        <v>93</v>
      </c>
      <c r="C38" t="s">
        <v>21</v>
      </c>
      <c r="E38" t="s">
        <v>87</v>
      </c>
      <c r="F38" t="s">
        <v>94</v>
      </c>
      <c r="G38" t="s">
        <v>96</v>
      </c>
      <c r="H38" t="s">
        <v>95</v>
      </c>
    </row>
    <row r="39" spans="1:8" x14ac:dyDescent="0.25">
      <c r="A39">
        <v>1</v>
      </c>
      <c r="B39">
        <v>5000</v>
      </c>
      <c r="C39">
        <v>7.29</v>
      </c>
      <c r="D39">
        <v>5007.29</v>
      </c>
      <c r="E39">
        <v>10</v>
      </c>
      <c r="F39">
        <v>1.9231770833333335</v>
      </c>
      <c r="G39">
        <v>8.08</v>
      </c>
      <c r="H39">
        <v>0</v>
      </c>
    </row>
    <row r="40" spans="1:8" x14ac:dyDescent="0.25">
      <c r="A40">
        <v>2</v>
      </c>
      <c r="B40">
        <v>5007.29</v>
      </c>
      <c r="C40">
        <v>7.3</v>
      </c>
      <c r="D40">
        <v>5014.59</v>
      </c>
      <c r="E40">
        <v>8.08</v>
      </c>
      <c r="F40">
        <v>1.9259810755208333</v>
      </c>
      <c r="G40">
        <v>6.15</v>
      </c>
      <c r="H40">
        <v>0</v>
      </c>
    </row>
    <row r="41" spans="1:8" x14ac:dyDescent="0.25">
      <c r="A41">
        <v>3</v>
      </c>
      <c r="B41">
        <v>5014.59</v>
      </c>
      <c r="C41">
        <v>7.31</v>
      </c>
      <c r="D41">
        <v>5021.9000000000005</v>
      </c>
      <c r="E41">
        <v>6.15</v>
      </c>
      <c r="F41">
        <v>1.9287889140625001</v>
      </c>
      <c r="G41">
        <v>4.22</v>
      </c>
      <c r="H41">
        <v>0</v>
      </c>
    </row>
    <row r="42" spans="1:8" x14ac:dyDescent="0.25">
      <c r="A42">
        <v>4</v>
      </c>
      <c r="B42">
        <v>5021.9000000000005</v>
      </c>
      <c r="C42">
        <v>7.32</v>
      </c>
      <c r="D42">
        <v>5029.22</v>
      </c>
      <c r="E42">
        <v>4.2200000000000006</v>
      </c>
      <c r="F42">
        <v>1.9316005989583336</v>
      </c>
      <c r="G42">
        <v>2.29</v>
      </c>
      <c r="H42">
        <v>0</v>
      </c>
    </row>
    <row r="43" spans="1:8" x14ac:dyDescent="0.25">
      <c r="A43">
        <v>5</v>
      </c>
      <c r="B43">
        <v>5029.22</v>
      </c>
      <c r="C43">
        <v>7.33</v>
      </c>
      <c r="D43">
        <v>5036.55</v>
      </c>
      <c r="E43">
        <v>2.2900000000000009</v>
      </c>
      <c r="F43">
        <v>1.9344161302083334</v>
      </c>
      <c r="G43">
        <v>0.36</v>
      </c>
      <c r="H43">
        <v>0</v>
      </c>
    </row>
    <row r="44" spans="1:8" x14ac:dyDescent="0.25">
      <c r="A44">
        <v>6</v>
      </c>
      <c r="B44">
        <v>5036.55</v>
      </c>
      <c r="C44">
        <v>5.77</v>
      </c>
      <c r="D44">
        <v>5042.3200000000006</v>
      </c>
      <c r="E44">
        <v>0.36000000000000099</v>
      </c>
      <c r="F44">
        <v>1.9372355078125001</v>
      </c>
      <c r="G44">
        <v>0</v>
      </c>
      <c r="H44">
        <v>1.5772355078124991</v>
      </c>
    </row>
    <row r="45" spans="1:8" x14ac:dyDescent="0.25">
      <c r="A45">
        <v>7</v>
      </c>
      <c r="B45">
        <v>5042.3200000000006</v>
      </c>
      <c r="C45">
        <v>5.41</v>
      </c>
      <c r="D45">
        <v>5047.7300000000005</v>
      </c>
      <c r="E45">
        <v>0</v>
      </c>
      <c r="H45">
        <v>1.939454854166667</v>
      </c>
    </row>
    <row r="46" spans="1:8" x14ac:dyDescent="0.25">
      <c r="A46" t="s">
        <v>97</v>
      </c>
    </row>
    <row r="47" spans="1:8" x14ac:dyDescent="0.25">
      <c r="A47">
        <v>3</v>
      </c>
      <c r="B47">
        <v>5047.7300000000005</v>
      </c>
      <c r="C47">
        <v>0.54</v>
      </c>
      <c r="D47">
        <v>5048.2700000000004</v>
      </c>
      <c r="E47">
        <v>0</v>
      </c>
      <c r="H47">
        <v>0.19415357317708334</v>
      </c>
    </row>
  </sheetData>
  <dataValidations count="2">
    <dataValidation type="list" allowBlank="1" showInputMessage="1" showErrorMessage="1" sqref="D7" xr:uid="{E5528E94-A4E9-4866-82CA-93B9D2DFA793}">
      <formula1>"1,3,5,7,9,10,11,13,15,17,19,21,23,25,27,29,30,31,32,33,34,35,40,60,90,120,213,360,401"</formula1>
    </dataValidation>
    <dataValidation type="list" allowBlank="1" showInputMessage="1" showErrorMessage="1" sqref="E16" xr:uid="{261EE0F9-EBC8-4753-A0DB-0D10A2B6CE96}">
      <formula1>"0,1,2,4,12,360"</formula1>
    </dataValidation>
  </dataValidations>
  <pageMargins left="0.7" right="0.7" top="0.78740157499999996" bottom="0.78740157499999996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Zins_Klicken">
                <anchor moveWithCells="1">
                  <from>
                    <xdr:col>4</xdr:col>
                    <xdr:colOff>285750</xdr:colOff>
                    <xdr:row>2</xdr:row>
                    <xdr:rowOff>38100</xdr:rowOff>
                  </from>
                  <to>
                    <xdr:col>4</xdr:col>
                    <xdr:colOff>1219200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Zins2_Klicken">
                <anchor moveWithCells="1">
                  <from>
                    <xdr:col>5</xdr:col>
                    <xdr:colOff>228600</xdr:colOff>
                    <xdr:row>12</xdr:row>
                    <xdr:rowOff>38100</xdr:rowOff>
                  </from>
                  <to>
                    <xdr:col>5</xdr:col>
                    <xdr:colOff>1143000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Zins3_Klicken">
                <anchor moveWithCells="1">
                  <from>
                    <xdr:col>0</xdr:col>
                    <xdr:colOff>57150</xdr:colOff>
                    <xdr:row>25</xdr:row>
                    <xdr:rowOff>133350</xdr:rowOff>
                  </from>
                  <to>
                    <xdr:col>1</xdr:col>
                    <xdr:colOff>142875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7" name="Button 6">
              <controlPr defaultSize="0" print="0" autoFill="0" autoPict="0" macro="[0]!Zins4_Klicken">
                <anchor moveWithCells="1">
                  <from>
                    <xdr:col>0</xdr:col>
                    <xdr:colOff>57150</xdr:colOff>
                    <xdr:row>33</xdr:row>
                    <xdr:rowOff>123825</xdr:rowOff>
                  </from>
                  <to>
                    <xdr:col>1</xdr:col>
                    <xdr:colOff>133350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8" name="Check Box 7">
              <controlPr defaultSize="0" autoFill="0" autoLine="0" autoPict="0" macro="[0]!SteuerAktiv_Klicken" altText="aktiv_x000a_">
                <anchor moveWithCells="1">
                  <from>
                    <xdr:col>3</xdr:col>
                    <xdr:colOff>9525</xdr:colOff>
                    <xdr:row>28</xdr:row>
                    <xdr:rowOff>190500</xdr:rowOff>
                  </from>
                  <to>
                    <xdr:col>3</xdr:col>
                    <xdr:colOff>1038225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M32"/>
  <sheetViews>
    <sheetView zoomScaleNormal="100" workbookViewId="0">
      <selection activeCell="A9" sqref="A9"/>
    </sheetView>
  </sheetViews>
  <sheetFormatPr baseColWidth="10" defaultRowHeight="15.75" x14ac:dyDescent="0.25"/>
  <cols>
    <col min="1" max="1" width="19.75" customWidth="1"/>
    <col min="2" max="2" width="12.625" bestFit="1" customWidth="1"/>
    <col min="4" max="4" width="10.75" bestFit="1" customWidth="1"/>
    <col min="5" max="5" width="13.125" customWidth="1"/>
    <col min="6" max="6" width="14.625" customWidth="1"/>
    <col min="7" max="7" width="13.625" customWidth="1"/>
    <col min="8" max="8" width="14.375" customWidth="1"/>
    <col min="9" max="9" width="13.25" customWidth="1"/>
    <col min="10" max="10" width="14.75" customWidth="1"/>
    <col min="11" max="11" width="14.875" customWidth="1"/>
    <col min="12" max="12" width="14.625" customWidth="1"/>
    <col min="13" max="13" width="11.875" bestFit="1" customWidth="1"/>
  </cols>
  <sheetData>
    <row r="1" spans="1:13" ht="57" customHeight="1" x14ac:dyDescent="0.25">
      <c r="A1" s="44" t="s">
        <v>0</v>
      </c>
      <c r="B1" s="44"/>
      <c r="C1" s="44"/>
      <c r="D1" s="44"/>
      <c r="E1" s="44"/>
    </row>
    <row r="2" spans="1:13" ht="27.95" customHeight="1" x14ac:dyDescent="0.25">
      <c r="A2" s="5" t="s">
        <v>1</v>
      </c>
      <c r="B2" s="6">
        <v>5000</v>
      </c>
      <c r="C2" s="5" t="s">
        <v>3</v>
      </c>
      <c r="D2" s="7">
        <v>7.0000000000000007E-2</v>
      </c>
      <c r="E2" s="8"/>
    </row>
    <row r="3" spans="1:13" ht="27.95" customHeight="1" x14ac:dyDescent="0.25">
      <c r="A3" s="5" t="s">
        <v>2</v>
      </c>
      <c r="B3" s="9">
        <v>45351</v>
      </c>
      <c r="C3" s="5" t="s">
        <v>4</v>
      </c>
      <c r="D3" s="9">
        <v>45367</v>
      </c>
      <c r="E3" s="8"/>
    </row>
    <row r="4" spans="1:13" x14ac:dyDescent="0.25">
      <c r="A4" s="45" t="s">
        <v>7</v>
      </c>
      <c r="B4" s="45"/>
      <c r="C4" s="45"/>
      <c r="D4" s="45"/>
      <c r="E4" s="45"/>
    </row>
    <row r="5" spans="1:13" x14ac:dyDescent="0.25">
      <c r="A5" s="45"/>
      <c r="B5" s="45"/>
      <c r="C5" s="45"/>
      <c r="D5" s="45"/>
      <c r="E5" s="45"/>
    </row>
    <row r="6" spans="1:13" s="10" customFormat="1" ht="27.95" customHeight="1" x14ac:dyDescent="0.25">
      <c r="A6" s="11" t="s">
        <v>5</v>
      </c>
      <c r="B6" s="12">
        <f>DAYS360(B3,D3)</f>
        <v>16</v>
      </c>
      <c r="C6" s="11" t="s">
        <v>6</v>
      </c>
      <c r="D6" s="13">
        <f>B2*D2/360*DAYS360(B3,D3,TRUE)</f>
        <v>16.527777777777782</v>
      </c>
      <c r="E6" s="14"/>
      <c r="F6" s="10" t="s">
        <v>24</v>
      </c>
    </row>
    <row r="7" spans="1:13" x14ac:dyDescent="0.25">
      <c r="A7" s="2"/>
      <c r="D7" s="1"/>
      <c r="E7" s="1"/>
    </row>
    <row r="8" spans="1:13" x14ac:dyDescent="0.25">
      <c r="C8" s="3"/>
      <c r="D8" s="4"/>
      <c r="E8" s="4"/>
    </row>
    <row r="9" spans="1:13" ht="19.5" x14ac:dyDescent="0.25">
      <c r="A9" s="15" t="s">
        <v>22</v>
      </c>
      <c r="B9" s="1"/>
      <c r="C9" s="1"/>
      <c r="D9" s="1"/>
      <c r="E9" s="1"/>
      <c r="M9">
        <v>60</v>
      </c>
    </row>
    <row r="10" spans="1:13" x14ac:dyDescent="0.25">
      <c r="A10" s="16" t="s">
        <v>13</v>
      </c>
      <c r="B10" s="1"/>
      <c r="C10" s="1"/>
      <c r="D10" s="1"/>
      <c r="E10" s="16" t="s">
        <v>14</v>
      </c>
      <c r="F10" t="s">
        <v>15</v>
      </c>
      <c r="G10" t="s">
        <v>16</v>
      </c>
      <c r="H10" s="16" t="s">
        <v>17</v>
      </c>
      <c r="I10" s="16" t="s">
        <v>18</v>
      </c>
      <c r="J10" s="16" t="s">
        <v>19</v>
      </c>
      <c r="K10" s="16" t="s">
        <v>20</v>
      </c>
      <c r="L10" s="16" t="s">
        <v>23</v>
      </c>
      <c r="M10" s="16" t="str">
        <f>M9&amp;" Tage"</f>
        <v>60 Tage</v>
      </c>
    </row>
    <row r="11" spans="1:13" x14ac:dyDescent="0.25">
      <c r="A11" t="s">
        <v>8</v>
      </c>
      <c r="E11" s="17">
        <f t="shared" ref="E11:L11" si="0">E12*((E13/E15/100)+1)^(E14*E15)</f>
        <v>6610.269389426785</v>
      </c>
      <c r="F11" s="17">
        <f t="shared" si="0"/>
        <v>5361.4504042811795</v>
      </c>
      <c r="G11" s="17">
        <f t="shared" si="0"/>
        <v>5029.166666666667</v>
      </c>
      <c r="H11" s="17">
        <f t="shared" si="0"/>
        <v>5058.5034722222226</v>
      </c>
      <c r="I11" s="17">
        <f t="shared" si="0"/>
        <v>5330.3566571146775</v>
      </c>
      <c r="J11" s="17">
        <f t="shared" si="0"/>
        <v>5361.4504042811795</v>
      </c>
      <c r="K11" s="17">
        <f t="shared" si="0"/>
        <v>6610.269389426785</v>
      </c>
      <c r="L11" s="17">
        <f t="shared" si="0"/>
        <v>5000.9694915328082</v>
      </c>
      <c r="M11" s="17">
        <f t="shared" ref="M11" si="1">M12*((M13/M15/100)+1)^(M14*M15)</f>
        <v>5058.5034722222226</v>
      </c>
    </row>
    <row r="12" spans="1:13" x14ac:dyDescent="0.25">
      <c r="A12" t="s">
        <v>9</v>
      </c>
      <c r="E12">
        <v>5000</v>
      </c>
      <c r="F12">
        <v>5000</v>
      </c>
      <c r="G12">
        <v>5000</v>
      </c>
      <c r="H12">
        <v>5000</v>
      </c>
      <c r="I12">
        <v>5000</v>
      </c>
      <c r="J12">
        <v>5000</v>
      </c>
      <c r="K12">
        <v>5000</v>
      </c>
      <c r="L12">
        <v>5000</v>
      </c>
      <c r="M12">
        <v>5000</v>
      </c>
    </row>
    <row r="13" spans="1:13" x14ac:dyDescent="0.25">
      <c r="A13" t="s">
        <v>10</v>
      </c>
      <c r="E13">
        <v>7</v>
      </c>
      <c r="F13">
        <v>7</v>
      </c>
      <c r="G13">
        <v>7</v>
      </c>
      <c r="H13">
        <v>7</v>
      </c>
      <c r="I13">
        <v>7</v>
      </c>
      <c r="J13">
        <v>7</v>
      </c>
      <c r="K13">
        <v>7</v>
      </c>
      <c r="L13">
        <v>7</v>
      </c>
      <c r="M13">
        <v>7</v>
      </c>
    </row>
    <row r="14" spans="1:13" x14ac:dyDescent="0.25">
      <c r="A14" t="s">
        <v>11</v>
      </c>
      <c r="E14">
        <v>4</v>
      </c>
      <c r="F14">
        <v>1</v>
      </c>
      <c r="G14">
        <f>1/12</f>
        <v>8.3333333333333329E-2</v>
      </c>
      <c r="H14">
        <f>2/12</f>
        <v>0.16666666666666666</v>
      </c>
      <c r="I14">
        <f>11/12</f>
        <v>0.91666666666666663</v>
      </c>
      <c r="J14">
        <f>12/12</f>
        <v>1</v>
      </c>
      <c r="K14">
        <f>48/12</f>
        <v>4</v>
      </c>
      <c r="L14">
        <f>1/12/30</f>
        <v>2.7777777777777775E-3</v>
      </c>
      <c r="M14">
        <f>M9/360</f>
        <v>0.16666666666666666</v>
      </c>
    </row>
    <row r="15" spans="1:13" x14ac:dyDescent="0.25">
      <c r="A15" t="s">
        <v>12</v>
      </c>
      <c r="E15">
        <v>12</v>
      </c>
      <c r="F15">
        <v>12</v>
      </c>
      <c r="G15">
        <v>12</v>
      </c>
      <c r="H15">
        <v>12</v>
      </c>
      <c r="I15">
        <v>12</v>
      </c>
      <c r="J15">
        <v>12</v>
      </c>
      <c r="K15">
        <v>12</v>
      </c>
      <c r="L15">
        <v>12</v>
      </c>
      <c r="M15">
        <v>12</v>
      </c>
    </row>
    <row r="16" spans="1:13" x14ac:dyDescent="0.25">
      <c r="A16" t="s">
        <v>21</v>
      </c>
      <c r="E16" s="17">
        <f t="shared" ref="E16:K16" si="2">E11-E12</f>
        <v>1610.269389426785</v>
      </c>
      <c r="F16" s="17">
        <f t="shared" si="2"/>
        <v>361.45040428117954</v>
      </c>
      <c r="G16" s="17">
        <f t="shared" si="2"/>
        <v>29.16666666666697</v>
      </c>
      <c r="H16" s="17">
        <f t="shared" si="2"/>
        <v>58.503472222222626</v>
      </c>
      <c r="I16" s="17">
        <f t="shared" si="2"/>
        <v>330.35665711467755</v>
      </c>
      <c r="J16" s="17">
        <f t="shared" si="2"/>
        <v>361.45040428117954</v>
      </c>
      <c r="K16" s="17">
        <f t="shared" si="2"/>
        <v>1610.269389426785</v>
      </c>
      <c r="L16" s="17">
        <f t="shared" ref="L16" si="3">L11-L12</f>
        <v>0.9694915328082061</v>
      </c>
      <c r="M16" s="17">
        <f t="shared" ref="M16" si="4">M11-M12</f>
        <v>58.503472222222626</v>
      </c>
    </row>
    <row r="18" spans="1:10" x14ac:dyDescent="0.25">
      <c r="F18" t="s">
        <v>25</v>
      </c>
      <c r="G18">
        <f>G13/G15/100</f>
        <v>5.8333333333333336E-3</v>
      </c>
      <c r="H18" t="s">
        <v>30</v>
      </c>
      <c r="I18" t="s">
        <v>31</v>
      </c>
    </row>
    <row r="19" spans="1:10" x14ac:dyDescent="0.25">
      <c r="F19" t="s">
        <v>26</v>
      </c>
      <c r="G19">
        <f>G18+1</f>
        <v>1.0058333333333334</v>
      </c>
      <c r="H19" t="s">
        <v>32</v>
      </c>
      <c r="I19" t="s">
        <v>32</v>
      </c>
    </row>
    <row r="20" spans="1:10" x14ac:dyDescent="0.25">
      <c r="F20" t="s">
        <v>27</v>
      </c>
      <c r="G20">
        <f>1/12*G15</f>
        <v>1</v>
      </c>
      <c r="H20" s="18" t="s">
        <v>33</v>
      </c>
      <c r="I20" t="s">
        <v>34</v>
      </c>
    </row>
    <row r="21" spans="1:10" x14ac:dyDescent="0.25">
      <c r="F21" t="s">
        <v>28</v>
      </c>
      <c r="G21">
        <f>G19^G20</f>
        <v>1.0058333333333334</v>
      </c>
      <c r="H21" t="s">
        <v>35</v>
      </c>
      <c r="I21" t="s">
        <v>35</v>
      </c>
    </row>
    <row r="22" spans="1:10" x14ac:dyDescent="0.25">
      <c r="F22" t="s">
        <v>29</v>
      </c>
      <c r="G22">
        <f>G12*G21</f>
        <v>5029.166666666667</v>
      </c>
      <c r="H22" t="s">
        <v>36</v>
      </c>
      <c r="I22" t="s">
        <v>37</v>
      </c>
    </row>
    <row r="24" spans="1:10" x14ac:dyDescent="0.25">
      <c r="C24" t="s">
        <v>43</v>
      </c>
      <c r="D24" t="s">
        <v>39</v>
      </c>
      <c r="E24" t="str">
        <f>"+1)"</f>
        <v>+1)</v>
      </c>
      <c r="F24" t="s">
        <v>42</v>
      </c>
      <c r="G24" t="s">
        <v>41</v>
      </c>
      <c r="H24" t="s">
        <v>45</v>
      </c>
      <c r="I24" t="s">
        <v>44</v>
      </c>
    </row>
    <row r="25" spans="1:10" x14ac:dyDescent="0.25">
      <c r="F25" t="s">
        <v>46</v>
      </c>
    </row>
    <row r="26" spans="1:10" x14ac:dyDescent="0.25">
      <c r="F26">
        <v>60</v>
      </c>
      <c r="I26" t="s">
        <v>47</v>
      </c>
      <c r="J26" t="s">
        <v>48</v>
      </c>
    </row>
    <row r="27" spans="1:10" x14ac:dyDescent="0.25">
      <c r="A27" t="s">
        <v>38</v>
      </c>
      <c r="B27">
        <v>5000</v>
      </c>
      <c r="C27">
        <v>7.0000000000000007E-2</v>
      </c>
      <c r="D27">
        <v>360</v>
      </c>
      <c r="E27">
        <v>1</v>
      </c>
      <c r="F27">
        <f>F26/360*360</f>
        <v>60</v>
      </c>
    </row>
    <row r="28" spans="1:10" x14ac:dyDescent="0.25">
      <c r="D28">
        <f>C27/D27</f>
        <v>1.9444444444444446E-4</v>
      </c>
      <c r="E28">
        <f>D28+1</f>
        <v>1.0001944444444444</v>
      </c>
      <c r="F28">
        <f>E28^F27</f>
        <v>1.0117338402360543</v>
      </c>
      <c r="G28">
        <f>F28*B27</f>
        <v>5058.6692011802716</v>
      </c>
      <c r="H28">
        <f>G28-B27</f>
        <v>58.669201180271557</v>
      </c>
      <c r="I28">
        <v>58.67</v>
      </c>
      <c r="J28" s="19">
        <v>14.6</v>
      </c>
    </row>
    <row r="30" spans="1:10" x14ac:dyDescent="0.25">
      <c r="C30">
        <v>7</v>
      </c>
      <c r="D30">
        <v>12</v>
      </c>
      <c r="E30">
        <v>1</v>
      </c>
      <c r="F30">
        <v>60</v>
      </c>
    </row>
    <row r="31" spans="1:10" x14ac:dyDescent="0.25">
      <c r="A31" t="s">
        <v>40</v>
      </c>
      <c r="B31">
        <v>5000</v>
      </c>
      <c r="C31">
        <f>C30/100</f>
        <v>7.0000000000000007E-2</v>
      </c>
      <c r="D31">
        <f>C31/D30</f>
        <v>5.8333333333333336E-3</v>
      </c>
      <c r="E31">
        <f>D31+E30</f>
        <v>1.0058333333333334</v>
      </c>
      <c r="F31">
        <f>F30/360</f>
        <v>0.16666666666666666</v>
      </c>
    </row>
    <row r="32" spans="1:10" x14ac:dyDescent="0.25">
      <c r="F32">
        <f>E31*12</f>
        <v>12.07</v>
      </c>
      <c r="G32">
        <f>B31*(E31^F32)</f>
        <v>5363.6337470220287</v>
      </c>
      <c r="H32">
        <f>G32-B31</f>
        <v>363.63374702202873</v>
      </c>
      <c r="I32" s="19">
        <v>58.5</v>
      </c>
      <c r="J32">
        <v>14.58</v>
      </c>
    </row>
  </sheetData>
  <mergeCells count="2">
    <mergeCell ref="A1:E1"/>
    <mergeCell ref="A4:E5"/>
  </mergeCells>
  <phoneticPr fontId="4" type="noConversion"/>
  <pageMargins left="0.75" right="0.75" top="1" bottom="1" header="0.5" footer="0.5"/>
  <pageSetup paperSize="9" orientation="portrait" horizontalDpi="4294967292" verticalDpi="4294967292" r:id="rId1"/>
  <extLst>
    <ext xmlns:mx="http://schemas.microsoft.com/office/mac/excel/2008/main" uri="{64002731-A6B0-56B0-2670-7721B7C09600}">
      <mx:PLV Mode="1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61963-0730-4AC2-AB1D-307DCFEA565C}">
  <sheetPr codeName="Tabelle3"/>
  <dimension ref="A2:M26"/>
  <sheetViews>
    <sheetView workbookViewId="0">
      <selection activeCell="G29" sqref="G29"/>
    </sheetView>
  </sheetViews>
  <sheetFormatPr baseColWidth="10" defaultRowHeight="15.75" x14ac:dyDescent="0.25"/>
  <cols>
    <col min="5" max="5" width="13.5" customWidth="1"/>
    <col min="6" max="6" width="15.375" customWidth="1"/>
    <col min="7" max="7" width="15.625" customWidth="1"/>
    <col min="8" max="8" width="13.25" customWidth="1"/>
    <col min="10" max="10" width="14.5" customWidth="1"/>
    <col min="11" max="11" width="15.375" customWidth="1"/>
    <col min="12" max="12" width="14.25" customWidth="1"/>
    <col min="13" max="13" width="13.25" customWidth="1"/>
  </cols>
  <sheetData>
    <row r="2" spans="1:13" x14ac:dyDescent="0.25">
      <c r="B2" s="22" t="s">
        <v>58</v>
      </c>
      <c r="C2" s="22">
        <v>12</v>
      </c>
      <c r="E2" s="22" t="s">
        <v>59</v>
      </c>
      <c r="F2">
        <v>213</v>
      </c>
    </row>
    <row r="4" spans="1:13" x14ac:dyDescent="0.25">
      <c r="A4" s="16" t="s">
        <v>13</v>
      </c>
      <c r="B4" s="1"/>
      <c r="C4" s="1"/>
      <c r="D4" s="1"/>
      <c r="E4" s="16" t="s">
        <v>14</v>
      </c>
      <c r="F4" t="s">
        <v>15</v>
      </c>
      <c r="G4" t="s">
        <v>16</v>
      </c>
      <c r="H4" s="16" t="s">
        <v>17</v>
      </c>
      <c r="I4" s="16" t="s">
        <v>18</v>
      </c>
      <c r="J4" s="16" t="s">
        <v>19</v>
      </c>
      <c r="K4" s="16" t="s">
        <v>20</v>
      </c>
      <c r="L4" s="16" t="s">
        <v>23</v>
      </c>
      <c r="M4" s="16" t="str">
        <f>F2&amp;" Tage"</f>
        <v>213 Tage</v>
      </c>
    </row>
    <row r="6" spans="1:13" x14ac:dyDescent="0.25">
      <c r="A6" t="s">
        <v>9</v>
      </c>
      <c r="E6">
        <v>5000</v>
      </c>
      <c r="F6">
        <v>5000</v>
      </c>
      <c r="G6">
        <v>5000</v>
      </c>
      <c r="H6">
        <v>5000</v>
      </c>
      <c r="I6">
        <v>5000</v>
      </c>
      <c r="J6">
        <v>5000</v>
      </c>
      <c r="K6">
        <v>5000</v>
      </c>
      <c r="L6">
        <v>5000</v>
      </c>
      <c r="M6">
        <v>5000</v>
      </c>
    </row>
    <row r="7" spans="1:13" x14ac:dyDescent="0.25">
      <c r="A7" t="s">
        <v>10</v>
      </c>
      <c r="E7">
        <v>7</v>
      </c>
      <c r="F7">
        <v>7</v>
      </c>
      <c r="G7">
        <v>7</v>
      </c>
      <c r="H7">
        <v>7</v>
      </c>
      <c r="I7">
        <v>7</v>
      </c>
      <c r="J7">
        <v>7</v>
      </c>
      <c r="K7">
        <v>7</v>
      </c>
      <c r="L7">
        <v>7</v>
      </c>
      <c r="M7">
        <v>7</v>
      </c>
    </row>
    <row r="8" spans="1:13" x14ac:dyDescent="0.25">
      <c r="A8" t="s">
        <v>56</v>
      </c>
      <c r="E8">
        <f t="shared" ref="E8:M8" si="0">(E7/E12/100)+1</f>
        <v>1.0058333333333334</v>
      </c>
      <c r="F8">
        <f t="shared" si="0"/>
        <v>1.0058333333333334</v>
      </c>
      <c r="G8">
        <f t="shared" si="0"/>
        <v>1.0058333333333334</v>
      </c>
      <c r="H8">
        <f t="shared" si="0"/>
        <v>1.0058333333333334</v>
      </c>
      <c r="I8">
        <f t="shared" si="0"/>
        <v>1.0058333333333334</v>
      </c>
      <c r="J8">
        <f t="shared" si="0"/>
        <v>1.0058333333333334</v>
      </c>
      <c r="K8">
        <f t="shared" si="0"/>
        <v>1.0058333333333334</v>
      </c>
      <c r="L8">
        <f t="shared" si="0"/>
        <v>1.0058333333333334</v>
      </c>
      <c r="M8">
        <f t="shared" si="0"/>
        <v>1.0058333333333334</v>
      </c>
    </row>
    <row r="10" spans="1:13" s="20" customFormat="1" x14ac:dyDescent="0.25">
      <c r="G10" s="20" t="s">
        <v>49</v>
      </c>
      <c r="H10" s="20" t="s">
        <v>50</v>
      </c>
      <c r="I10" s="20" t="s">
        <v>51</v>
      </c>
      <c r="J10" s="20" t="s">
        <v>52</v>
      </c>
      <c r="K10" s="20" t="s">
        <v>53</v>
      </c>
      <c r="L10" s="20" t="s">
        <v>54</v>
      </c>
      <c r="M10" s="20" t="s">
        <v>60</v>
      </c>
    </row>
    <row r="11" spans="1:13" x14ac:dyDescent="0.25">
      <c r="A11" t="s">
        <v>11</v>
      </c>
      <c r="E11">
        <v>4</v>
      </c>
      <c r="F11">
        <v>1</v>
      </c>
      <c r="G11">
        <f>1/12</f>
        <v>8.3333333333333329E-2</v>
      </c>
      <c r="H11">
        <f>2/12</f>
        <v>0.16666666666666666</v>
      </c>
      <c r="I11">
        <f>11/12</f>
        <v>0.91666666666666663</v>
      </c>
      <c r="J11">
        <f>12/12</f>
        <v>1</v>
      </c>
      <c r="K11">
        <f>48/12</f>
        <v>4</v>
      </c>
      <c r="L11">
        <f>1/12/30</f>
        <v>2.7777777777777775E-3</v>
      </c>
      <c r="M11">
        <f>F2/360</f>
        <v>0.59166666666666667</v>
      </c>
    </row>
    <row r="12" spans="1:13" x14ac:dyDescent="0.25">
      <c r="A12" t="s">
        <v>12</v>
      </c>
      <c r="E12">
        <f>C2</f>
        <v>12</v>
      </c>
      <c r="F12">
        <f>C2</f>
        <v>12</v>
      </c>
      <c r="G12">
        <f>C2</f>
        <v>12</v>
      </c>
      <c r="H12">
        <f>C2</f>
        <v>12</v>
      </c>
      <c r="I12">
        <f>C2</f>
        <v>12</v>
      </c>
      <c r="J12">
        <f>C2</f>
        <v>12</v>
      </c>
      <c r="K12">
        <f>C2</f>
        <v>12</v>
      </c>
      <c r="L12">
        <f>C2</f>
        <v>12</v>
      </c>
      <c r="M12">
        <f>C2</f>
        <v>12</v>
      </c>
    </row>
    <row r="13" spans="1:13" x14ac:dyDescent="0.25">
      <c r="A13" t="s">
        <v>55</v>
      </c>
      <c r="E13">
        <f t="shared" ref="E13:M13" si="1">E11*E12</f>
        <v>48</v>
      </c>
      <c r="F13">
        <f t="shared" si="1"/>
        <v>12</v>
      </c>
      <c r="G13">
        <f t="shared" si="1"/>
        <v>1</v>
      </c>
      <c r="H13">
        <f t="shared" si="1"/>
        <v>2</v>
      </c>
      <c r="I13">
        <f t="shared" si="1"/>
        <v>11</v>
      </c>
      <c r="J13">
        <f t="shared" si="1"/>
        <v>12</v>
      </c>
      <c r="K13">
        <f t="shared" si="1"/>
        <v>48</v>
      </c>
      <c r="L13">
        <f t="shared" si="1"/>
        <v>3.3333333333333326E-2</v>
      </c>
      <c r="M13">
        <f t="shared" si="1"/>
        <v>7.1</v>
      </c>
    </row>
    <row r="15" spans="1:13" x14ac:dyDescent="0.25">
      <c r="A15" t="s">
        <v>57</v>
      </c>
      <c r="E15">
        <f t="shared" ref="E15:M15" si="2">E8^E13</f>
        <v>1.322053877885357</v>
      </c>
      <c r="F15">
        <f t="shared" si="2"/>
        <v>1.0722900808562359</v>
      </c>
      <c r="G15">
        <f t="shared" si="2"/>
        <v>1.0058333333333334</v>
      </c>
      <c r="H15">
        <f t="shared" si="2"/>
        <v>1.0117006944444444</v>
      </c>
      <c r="I15">
        <f t="shared" si="2"/>
        <v>1.0660713314229355</v>
      </c>
      <c r="J15">
        <f t="shared" si="2"/>
        <v>1.0722900808562359</v>
      </c>
      <c r="K15">
        <f t="shared" si="2"/>
        <v>1.322053877885357</v>
      </c>
      <c r="L15">
        <f t="shared" si="2"/>
        <v>1.0001938983065617</v>
      </c>
      <c r="M15">
        <f t="shared" si="2"/>
        <v>1.0421608893537231</v>
      </c>
    </row>
    <row r="16" spans="1:13" x14ac:dyDescent="0.25">
      <c r="E16">
        <f t="shared" ref="E16:M16" si="3">E6*E15</f>
        <v>6610.269389426785</v>
      </c>
      <c r="F16">
        <f t="shared" si="3"/>
        <v>5361.4504042811795</v>
      </c>
      <c r="G16">
        <f t="shared" si="3"/>
        <v>5029.166666666667</v>
      </c>
      <c r="H16">
        <f t="shared" si="3"/>
        <v>5058.5034722222226</v>
      </c>
      <c r="I16">
        <f t="shared" si="3"/>
        <v>5330.3566571146775</v>
      </c>
      <c r="J16">
        <f t="shared" si="3"/>
        <v>5361.4504042811795</v>
      </c>
      <c r="K16">
        <f t="shared" si="3"/>
        <v>6610.269389426785</v>
      </c>
      <c r="L16">
        <f t="shared" si="3"/>
        <v>5000.9694915328082</v>
      </c>
      <c r="M16">
        <f t="shared" si="3"/>
        <v>5210.804446768615</v>
      </c>
    </row>
    <row r="18" spans="1:13" x14ac:dyDescent="0.25">
      <c r="A18" t="s">
        <v>8</v>
      </c>
      <c r="E18" s="17">
        <f t="shared" ref="E18:M18" si="4">E6*((E7/E12/100)+1)^(E11*E12)</f>
        <v>6610.269389426785</v>
      </c>
      <c r="F18" s="17">
        <f t="shared" si="4"/>
        <v>5361.4504042811795</v>
      </c>
      <c r="G18" s="17">
        <f t="shared" si="4"/>
        <v>5029.166666666667</v>
      </c>
      <c r="H18" s="17">
        <f t="shared" si="4"/>
        <v>5058.5034722222226</v>
      </c>
      <c r="I18" s="17">
        <f t="shared" si="4"/>
        <v>5330.3566571146775</v>
      </c>
      <c r="J18" s="17">
        <f t="shared" si="4"/>
        <v>5361.4504042811795</v>
      </c>
      <c r="K18" s="17">
        <f t="shared" si="4"/>
        <v>6610.269389426785</v>
      </c>
      <c r="L18" s="17">
        <f t="shared" si="4"/>
        <v>5000.9694915328082</v>
      </c>
      <c r="M18" s="17">
        <f t="shared" si="4"/>
        <v>5210.804446768615</v>
      </c>
    </row>
    <row r="19" spans="1:13" x14ac:dyDescent="0.25">
      <c r="A19" t="s">
        <v>21</v>
      </c>
      <c r="E19" s="17">
        <f t="shared" ref="E19:M19" si="5">E18-E6</f>
        <v>1610.269389426785</v>
      </c>
      <c r="F19" s="17">
        <f t="shared" si="5"/>
        <v>361.45040428117954</v>
      </c>
      <c r="G19" s="17">
        <f t="shared" si="5"/>
        <v>29.16666666666697</v>
      </c>
      <c r="H19" s="17">
        <f t="shared" si="5"/>
        <v>58.503472222222626</v>
      </c>
      <c r="I19" s="17">
        <f t="shared" si="5"/>
        <v>330.35665711467755</v>
      </c>
      <c r="J19" s="17">
        <f t="shared" si="5"/>
        <v>361.45040428117954</v>
      </c>
      <c r="K19" s="17">
        <f t="shared" si="5"/>
        <v>1610.269389426785</v>
      </c>
      <c r="L19" s="17">
        <f t="shared" si="5"/>
        <v>0.9694915328082061</v>
      </c>
      <c r="M19" s="17">
        <f t="shared" si="5"/>
        <v>210.80444676861498</v>
      </c>
    </row>
    <row r="20" spans="1:13" s="21" customFormat="1" x14ac:dyDescent="0.25">
      <c r="E20" s="21">
        <f t="shared" ref="E20:M20" si="6">ROUND(E19,2)</f>
        <v>1610.27</v>
      </c>
      <c r="F20" s="21">
        <f t="shared" si="6"/>
        <v>361.45</v>
      </c>
      <c r="G20" s="21">
        <f t="shared" si="6"/>
        <v>29.17</v>
      </c>
      <c r="H20" s="21">
        <f t="shared" si="6"/>
        <v>58.5</v>
      </c>
      <c r="I20" s="21">
        <f t="shared" si="6"/>
        <v>330.36</v>
      </c>
      <c r="J20" s="21">
        <f t="shared" si="6"/>
        <v>361.45</v>
      </c>
      <c r="K20" s="21">
        <f t="shared" si="6"/>
        <v>1610.27</v>
      </c>
      <c r="L20" s="21">
        <f t="shared" si="6"/>
        <v>0.97</v>
      </c>
      <c r="M20" s="21">
        <f t="shared" si="6"/>
        <v>210.8</v>
      </c>
    </row>
    <row r="23" spans="1:13" x14ac:dyDescent="0.25">
      <c r="A23" t="s">
        <v>61</v>
      </c>
      <c r="E23">
        <v>10</v>
      </c>
      <c r="M23" s="17">
        <f>M6*M7/100*E23/360</f>
        <v>9.7222222222222214</v>
      </c>
    </row>
    <row r="24" spans="1:13" x14ac:dyDescent="0.25">
      <c r="M24" s="17">
        <f>ROUND(M23,2)</f>
        <v>9.7200000000000006</v>
      </c>
    </row>
    <row r="26" spans="1:13" ht="19.5" x14ac:dyDescent="0.4">
      <c r="A26" s="23" t="s">
        <v>62</v>
      </c>
      <c r="D26" s="24">
        <v>5000</v>
      </c>
      <c r="E26" s="24" t="s">
        <v>63</v>
      </c>
      <c r="F26" s="24">
        <v>7</v>
      </c>
      <c r="G26" s="24" t="s">
        <v>64</v>
      </c>
      <c r="H26" s="24">
        <v>100</v>
      </c>
      <c r="I26" s="24" t="s">
        <v>65</v>
      </c>
      <c r="J26" s="24">
        <v>1</v>
      </c>
      <c r="K26" s="24" t="s">
        <v>66</v>
      </c>
      <c r="L26" s="24">
        <v>1</v>
      </c>
      <c r="M26">
        <f>D26*((F26/H26)+J26)^L26</f>
        <v>5350</v>
      </c>
    </row>
  </sheetData>
  <dataValidations count="2">
    <dataValidation type="list" showInputMessage="1" showErrorMessage="1" sqref="F2" xr:uid="{CFF85D48-F9AE-4FBA-9CCB-E7BDCE02F9AA}">
      <formula1>"1,3,5,7,9,10,11,13,15,17,19,21,23,25,27,29,30,31,32,33,34,35,40,60,90,120,213,360"</formula1>
    </dataValidation>
    <dataValidation type="list" allowBlank="1" showInputMessage="1" showErrorMessage="1" sqref="C2" xr:uid="{26D8D4B7-3786-4F82-8D50-66A5E4F10B71}">
      <formula1>"1,2,4,12,360"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ignoredErrors>
    <ignoredError sqref="L10" twoDigitTextYea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Tagesgeld</vt:lpstr>
      <vt:lpstr>Blatt1</vt:lpstr>
      <vt:lpstr>Blatt2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2024-03-27T01:42:41Z</dcterms:created>
  <dcterms:modified xsi:type="dcterms:W3CDTF">2024-04-12T22:18:02Z</dcterms:modified>
  <cp:category/>
</cp:coreProperties>
</file>